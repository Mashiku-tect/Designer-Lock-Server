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llen\OneDrive\Documents\"/>
    </mc:Choice>
  </mc:AlternateContent>
  <xr:revisionPtr revIDLastSave="0" documentId="8_{06F03509-6BA4-48BB-BA80-1302907CA747}" xr6:coauthVersionLast="47" xr6:coauthVersionMax="47" xr10:uidLastSave="{00000000-0000-0000-0000-000000000000}"/>
  <bookViews>
    <workbookView xWindow="-120" yWindow="-120" windowWidth="20640" windowHeight="11040" xr2:uid="{C6BBEB00-2B29-4E7F-B3C0-04BCF23CFB9D}"/>
  </bookViews>
  <sheets>
    <sheet name="Revenue Modu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4" i="1" l="1"/>
  <c r="D73" i="1"/>
  <c r="D72" i="1"/>
  <c r="D75" i="1" s="1"/>
  <c r="E73" i="1" l="1"/>
  <c r="E74" i="1"/>
  <c r="E72" i="1"/>
</calcChain>
</file>

<file path=xl/sharedStrings.xml><?xml version="1.0" encoding="utf-8"?>
<sst xmlns="http://schemas.openxmlformats.org/spreadsheetml/2006/main" count="197" uniqueCount="132">
  <si>
    <t>REVENUE REQUIREMENTS</t>
  </si>
  <si>
    <t>S/N</t>
  </si>
  <si>
    <t>Test #</t>
  </si>
  <si>
    <t>Submitted Requirements</t>
  </si>
  <si>
    <t>NHCIS Status as of October 2025</t>
  </si>
  <si>
    <t>Defect/Comments/Additions</t>
  </si>
  <si>
    <t>2.2.1 APPLICATION 1:SETUP</t>
  </si>
  <si>
    <t>2.2.1.1</t>
  </si>
  <si>
    <t>The system shall enable authorized users to add an income and/or debtor
control account code to the Chart of Accounts</t>
  </si>
  <si>
    <t>Implemented</t>
  </si>
  <si>
    <t>2.2.1.2</t>
  </si>
  <si>
    <t>The system shall enable users to define applicable credit account codes for a
bank account project.</t>
  </si>
  <si>
    <t>2.2.1.3</t>
  </si>
  <si>
    <t>The system shall have a capability of replicating credit account codes
defined for one bank account project to another bank account project.</t>
  </si>
  <si>
    <t>2.2.1.4</t>
  </si>
  <si>
    <t>The system shall enable users to define revenue centres</t>
  </si>
  <si>
    <t>2.2.1.5</t>
  </si>
  <si>
    <t>The system shall provide a means of authorized users to define applicable
revenue centres for a bank account project.</t>
  </si>
  <si>
    <t>2.2.1.6</t>
  </si>
  <si>
    <t>The system shall provide authorized users with the means of defining and
editing Debtor Particulars</t>
  </si>
  <si>
    <t>There is no Audit trails</t>
  </si>
  <si>
    <t>2.2.1.7</t>
  </si>
  <si>
    <t>The system shall provide users with the means of indicating the VAT credit
account code to be used by the system in automated invoices generation.</t>
  </si>
  <si>
    <t>Partially Implemented</t>
  </si>
  <si>
    <t>There is new requirement</t>
  </si>
  <si>
    <t>2.2.2 APPLICATION 2:GePG</t>
  </si>
  <si>
    <t>2.2.2.1</t>
  </si>
  <si>
    <t>The system shall provide a means of specifying applicable GFS Codes for
use with GePG control number requests.</t>
  </si>
  <si>
    <t>Not Implemented</t>
  </si>
  <si>
    <t>Done by a developer in the backend</t>
  </si>
  <si>
    <t>2.2.2.2</t>
  </si>
  <si>
    <t>The system shall provide a means of mapping internal revenue account
codes to GFS Codes.</t>
  </si>
  <si>
    <t>2.2.2.3</t>
  </si>
  <si>
    <t>The system shall provide authorized users with he means of indicating
applicable GePG Collection bank accounts.</t>
  </si>
  <si>
    <t>2.2.2.4</t>
  </si>
  <si>
    <t>The system shall provide a means of specifying applicable GePG Service
provider particulars for NHC</t>
  </si>
  <si>
    <t>2.2.2.5</t>
  </si>
  <si>
    <t>The system shall provide a feature for specifying applicable particulars for
Sale/Purchase of houses necessary for bulk generation of GePG control numbers.</t>
  </si>
  <si>
    <t xml:space="preserve">Works Only in Rental bills </t>
  </si>
  <si>
    <t>2.2.2.6</t>
  </si>
  <si>
    <t>The system shall enable authorized users to define general public customers
for GePG Control number Request purposes</t>
  </si>
  <si>
    <t>Currently Disabled</t>
  </si>
  <si>
    <t>2.2.2.7</t>
  </si>
  <si>
    <t>The system shall enable users to request for a Single Bill GePG Control
number.</t>
  </si>
  <si>
    <t>2.2.2.8</t>
  </si>
  <si>
    <t>The system shall have a feature of automatically requesting for GePG
Control numbers for monthly tenant rent bills once the bills are generated.</t>
  </si>
  <si>
    <t>Cancellation of control numbers should be added. Also the same control number should have different amounts (Currently, same control number has constant amount)</t>
  </si>
  <si>
    <t>2.2.2.9</t>
  </si>
  <si>
    <t>The System shall automatically generate a receipt whenever a GePG
payment transaction is received.</t>
  </si>
  <si>
    <t>2.2.2.10</t>
  </si>
  <si>
    <t>The system shall enable users to Search for receipts generated via a
particular GePG Control number, view and/or print the desired receipt</t>
  </si>
  <si>
    <t>Takes a long time to load. Also recent receipts should be sorted in order</t>
  </si>
  <si>
    <t>2.2.2.11</t>
  </si>
  <si>
    <t>The system shall enable users to Search for GePG Control numbers issued
to a particular Customer</t>
  </si>
  <si>
    <t>2.2.2.12</t>
  </si>
  <si>
    <t>The system shall enable users to view and/or print the GePG Control
number particulars</t>
  </si>
  <si>
    <t>2.2.2.13</t>
  </si>
  <si>
    <t>The receipts for delayed incoming GePG payments that cross over to the following month shall bear the current date as the receipt date. The actual transactions date has to be indicated in the remark field. This is meant to resolve reconciliation problems that occur when delayed receipts are posted
to the previous month after billing is done for the current month</t>
  </si>
  <si>
    <t>2.2.3 APPLICATION 3:GENERAL</t>
  </si>
  <si>
    <t>2.2.3.1</t>
  </si>
  <si>
    <t>The system should provide a means of generating receipts manually from a keyboard and allow users to preview and/or print the receipt just after
posting the receipt</t>
  </si>
  <si>
    <t xml:space="preserve">Does not show who generated the receipt. Also the receipt should reflect to the general ledger in real time </t>
  </si>
  <si>
    <t>2.2.3.2</t>
  </si>
  <si>
    <t>The System shall provide the capability of Viewing receipts generated
during a desired period and printing a desired receipt</t>
  </si>
  <si>
    <t>Desired period is not implemented</t>
  </si>
  <si>
    <t>2.2.3.3</t>
  </si>
  <si>
    <t>The system should have a feature of registering bank deposit of cash/cheque
collected via non-GePG Channels</t>
  </si>
  <si>
    <t>Not Applicable/Used</t>
  </si>
  <si>
    <t>2.2.3.4</t>
  </si>
  <si>
    <t>The System shall allow users to view deposits for desired bank account and
date period.</t>
  </si>
  <si>
    <t>2.2.4. APPLICATION 4: INVOICING</t>
  </si>
  <si>
    <t>2.2.4.1</t>
  </si>
  <si>
    <t>The system shall enable users to generate tax invoices for customers.</t>
  </si>
  <si>
    <t>2.2.4.2</t>
  </si>
  <si>
    <t>The system shall provide a feature for requesting a GePG control number to
bind to an invoice from the same invoice generation screen.</t>
  </si>
  <si>
    <t>2.2.4.3</t>
  </si>
  <si>
    <t>The system shall provide a means of viewing invoices generated during a
desired period.</t>
  </si>
  <si>
    <t>2.2.4.4</t>
  </si>
  <si>
    <t>The system shall have a capability of communicating with ESD system to
obtain ESD Signature and QR Code for each invoice</t>
  </si>
  <si>
    <t>2.2.4.5</t>
  </si>
  <si>
    <t>The system should provide a feature of printing a single invoice on demand
or when desired print all branch rental invoices only for VAT paying tenants for the selected branch and month.</t>
  </si>
  <si>
    <t>Implemented Only in Estate Module</t>
  </si>
  <si>
    <t>2.2.4.6</t>
  </si>
  <si>
    <t>The system shall have a provision for generating proforma invoice</t>
  </si>
  <si>
    <t>Unable to save proforma invoice</t>
  </si>
  <si>
    <t>2.2.4.7</t>
  </si>
  <si>
    <t>The system shall provide a feature for handling advance payment invoices for rent. The Advance Payment Invoice particulars should include the debtor, debtor control account, Advance payment liability account, the total number of moths the advance payment is intended for, monthly rent amount for amortization, amortization start date and end date.
On posting an advance invoice, a tax invoice should be generated that is to include VAT. The invoice should debit the debtor control account and credit both the advance payment account and VAT account with the total monthly rent and VAT amount respectively.The system should automatically post an adjustment JV debiting the advance payment account and crediting the rent income account with the set monthly rent amount on the 1st day of each month until the raised advance
payment liability is cleared.
The system should automatically post an adjustment JV debiting the advance payment account and crediting the rent income account with the set</t>
  </si>
  <si>
    <t xml:space="preserve">Amortization does not work properly when invoice is cancelled or reversed (The advance invoice placed should be reversible and allow customer to receive the monthly invoices as before),also there are no reports for advance invoice. </t>
  </si>
  <si>
    <t>2.2.5 APPLICATION 5:REPORTS</t>
  </si>
  <si>
    <t>2.2.5.1</t>
  </si>
  <si>
    <t>The system shall provide a Consolidated Revenue Summary Report for a
selected date period. The report should show the total collected amount for each revenue account code for the entire NHC</t>
  </si>
  <si>
    <t>Report should also show revenue part</t>
  </si>
  <si>
    <t>2.2.5.2</t>
  </si>
  <si>
    <t>The system shall provide a Revenue Summary per Revenue centre Report for a selected date period. The report should show the total collected amount
for each revenue account code grouped per revenue centre.</t>
  </si>
  <si>
    <t>2.2.5.3</t>
  </si>
  <si>
    <t>The system shall provide a consolidated revenue account code summary
report showing the total collection for each revenue centre for selected account code and date period</t>
  </si>
  <si>
    <t>2.2.5.4</t>
  </si>
  <si>
    <t>The system shall provide a consolidated revenue account code details report showing the details of each transaction for selected revenue account code
and date period.</t>
  </si>
  <si>
    <t>2.2.5.5</t>
  </si>
  <si>
    <t>The system shall provide a Cashiers Report showing the details of
cash/cheques received by a cashier on a particular day or during a specified period.</t>
  </si>
  <si>
    <t>2.2.5.6</t>
  </si>
  <si>
    <t>The system shall provide the Bank Account Collection Details report
showing the transaction details for a selected bank account and date period.</t>
  </si>
  <si>
    <t>2.2.5.7</t>
  </si>
  <si>
    <t>The system shall provide a report showing cashier bank deposits details</t>
  </si>
  <si>
    <t>2.2.5.8</t>
  </si>
  <si>
    <t>The system shall proverb a report comparing the cash/Cheque receipts
details with Bank Deposits made</t>
  </si>
  <si>
    <t>Does not generate reports</t>
  </si>
  <si>
    <t>2.2.5.9</t>
  </si>
  <si>
    <t>The system shall provide the following monthly reports related to Tenant Rent Invoices and Receipts summary:</t>
  </si>
  <si>
    <t>(a)	Branch Returns Details for selected branch and month</t>
  </si>
  <si>
    <t>(b)	Branch Monthly Returns Summary for selected branch and month period</t>
  </si>
  <si>
    <t>(c)	Overall Returns Per Branch for selected month period</t>
  </si>
  <si>
    <t>(d)	Overall Monthly Returns for selected month period</t>
  </si>
  <si>
    <t>(e)	Tenant Monthly Returns for selected Tenant</t>
  </si>
  <si>
    <t>(f)	Overall Age Analysis for current tenants up to selected month</t>
  </si>
  <si>
    <t>(g)	Ex-Tenant Age Analysis up to selected month</t>
  </si>
  <si>
    <t>(h)	Ex-Tenant Debtors Returns for selected month</t>
  </si>
  <si>
    <t>(i)	Overall Status Summary Per Branch for selected month</t>
  </si>
  <si>
    <t>(j)	Overall Debit Balance Status Summary for selected month</t>
  </si>
  <si>
    <t>(k)	Tenant Invoices Settlement History for selected tenant and start month</t>
  </si>
  <si>
    <t>(l)	Loss Rate Age Analysis Report for selected month period</t>
  </si>
  <si>
    <t>(m)	Branch Tenant Financial Year Returns summary for selected financial year</t>
  </si>
  <si>
    <t>(n)	Branch Tenant Quarter Returns Summary for specific quarter of financial year</t>
  </si>
  <si>
    <t>(o)	Branch Quarterly Returns Summary foe specific financial year</t>
  </si>
  <si>
    <t>(p)	Branch Tenancy Status Quarterly Returns for specific branch and selected financial year</t>
  </si>
  <si>
    <t>(q)	Overall Quarterly Returns Summary for specific financial year grouped per Tenancy category i.e. Tenants and Ex-tenant returns to be separate</t>
  </si>
  <si>
    <t>(r)	Ex-Tenant Balances Details per branch up to selected month</t>
  </si>
  <si>
    <t>(s)	Revenue Summary Per Rental Building per financial year for selected financial years period</t>
  </si>
  <si>
    <t>(t)	Revenue Summary Per Rental Unit per financial year for selected
financial years period</t>
  </si>
  <si>
    <t>SUMMARY</t>
  </si>
  <si>
    <t>TOTAL</t>
  </si>
  <si>
    <t>Overall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</si>
</sst>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2"/>
      <color theme="1"/>
      <name val="Arial Narrow"/>
      <family val="2"/>
    </font>
    <font>
      <sz val="12"/>
      <color theme="1"/>
      <name val="Arial Narrow"/>
      <family val="2"/>
    </font>
    <font>
      <b/>
      <sz val="11"/>
      <name val="Calibri"/>
      <family val="2"/>
      <scheme val="minor"/>
    </font>
    <font>
      <sz val="1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8" tint="0.39997558519241921"/>
        <bgColor indexed="64"/>
      </patternFill>
    </fill>
  </fills>
  <borders count="1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3" xfId="0" applyFont="1" applyFill="1" applyBorder="1" applyAlignment="1">
      <alignment vertical="center"/>
    </xf>
    <xf numFmtId="0" fontId="3" fillId="0" borderId="0" xfId="0" applyFont="1"/>
    <xf numFmtId="0" fontId="2" fillId="0" borderId="0" xfId="0" applyFont="1"/>
    <xf numFmtId="0" fontId="2" fillId="3" borderId="4"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0" borderId="4" xfId="0" applyFont="1" applyBorder="1" applyAlignment="1">
      <alignment vertical="center"/>
    </xf>
    <xf numFmtId="0" fontId="3" fillId="0" borderId="5" xfId="0" applyFont="1" applyBorder="1" applyAlignment="1">
      <alignment vertical="center"/>
    </xf>
    <xf numFmtId="0" fontId="3" fillId="0" borderId="5" xfId="0" applyFont="1" applyBorder="1" applyAlignment="1">
      <alignment wrapText="1"/>
    </xf>
    <xf numFmtId="0" fontId="3" fillId="0" borderId="6" xfId="0" applyFont="1" applyBorder="1"/>
    <xf numFmtId="0" fontId="3" fillId="0" borderId="6" xfId="0" applyFont="1" applyBorder="1" applyAlignment="1">
      <alignment vertic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3" fillId="0" borderId="6" xfId="0" applyFont="1" applyBorder="1" applyAlignment="1">
      <alignment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wrapText="1"/>
    </xf>
    <xf numFmtId="0" fontId="3" fillId="0" borderId="8" xfId="0" applyFont="1" applyBorder="1" applyAlignment="1">
      <alignment vertical="center"/>
    </xf>
    <xf numFmtId="0" fontId="3" fillId="0" borderId="9" xfId="0" applyFont="1" applyBorder="1"/>
    <xf numFmtId="0" fontId="4" fillId="0" borderId="10" xfId="0" applyFont="1" applyBorder="1" applyAlignment="1">
      <alignment wrapText="1"/>
    </xf>
    <xf numFmtId="0" fontId="4" fillId="0" borderId="10" xfId="0" applyFont="1" applyBorder="1" applyAlignment="1">
      <alignment vertical="center"/>
    </xf>
    <xf numFmtId="0" fontId="4" fillId="0" borderId="10" xfId="0" applyFont="1" applyBorder="1"/>
    <xf numFmtId="0" fontId="5" fillId="0" borderId="10" xfId="0" applyFont="1" applyBorder="1" applyAlignment="1">
      <alignment wrapText="1"/>
    </xf>
    <xf numFmtId="9" fontId="4" fillId="0" borderId="10" xfId="1" applyFont="1" applyBorder="1" applyAlignment="1">
      <alignment horizontal="left"/>
    </xf>
    <xf numFmtId="0" fontId="4" fillId="0" borderId="10" xfId="0" applyFont="1" applyBorder="1" applyAlignment="1">
      <alignment horizontal="right" wrapText="1"/>
    </xf>
    <xf numFmtId="0" fontId="5" fillId="0" borderId="10"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616B-49B6-4D2B-B3CC-8882D4CD6C2D}">
  <dimension ref="A1:H75"/>
  <sheetViews>
    <sheetView tabSelected="1" topLeftCell="A65" zoomScaleNormal="100" workbookViewId="0">
      <selection activeCell="F3" sqref="F3"/>
    </sheetView>
  </sheetViews>
  <sheetFormatPr defaultRowHeight="15" x14ac:dyDescent="0.25"/>
  <cols>
    <col min="3" max="3" width="37.85546875" customWidth="1"/>
    <col min="4" max="4" width="40.7109375" customWidth="1"/>
    <col min="5" max="5" width="42.85546875" customWidth="1"/>
  </cols>
  <sheetData>
    <row r="1" spans="1:8" x14ac:dyDescent="0.25">
      <c r="A1" s="1" t="s">
        <v>0</v>
      </c>
      <c r="B1" s="2"/>
      <c r="C1" s="2"/>
      <c r="D1" s="2"/>
      <c r="E1" s="2"/>
      <c r="F1" s="2"/>
      <c r="G1" s="2"/>
      <c r="H1" s="2"/>
    </row>
    <row r="2" spans="1:8" ht="15.75" thickBot="1" x14ac:dyDescent="0.3">
      <c r="A2" s="2"/>
      <c r="B2" s="2"/>
      <c r="C2" s="2"/>
      <c r="D2" s="2"/>
      <c r="E2" s="2"/>
      <c r="F2" s="2"/>
      <c r="G2" s="2"/>
      <c r="H2" s="2"/>
    </row>
    <row r="3" spans="1:8" ht="60" customHeight="1" x14ac:dyDescent="0.25">
      <c r="A3" s="3" t="s">
        <v>1</v>
      </c>
      <c r="B3" s="4" t="s">
        <v>2</v>
      </c>
      <c r="C3" s="4" t="s">
        <v>3</v>
      </c>
      <c r="D3" s="4" t="s">
        <v>4</v>
      </c>
      <c r="E3" s="5" t="s">
        <v>5</v>
      </c>
      <c r="F3" s="6"/>
      <c r="G3" s="7"/>
      <c r="H3" s="6"/>
    </row>
    <row r="4" spans="1:8" ht="15.75" x14ac:dyDescent="0.25">
      <c r="A4" s="8" t="s">
        <v>6</v>
      </c>
      <c r="B4" s="9"/>
      <c r="C4" s="9"/>
      <c r="D4" s="9"/>
      <c r="E4" s="10"/>
      <c r="F4" s="6"/>
      <c r="G4" s="6"/>
      <c r="H4" s="6"/>
    </row>
    <row r="5" spans="1:8" ht="63" x14ac:dyDescent="0.25">
      <c r="A5" s="11">
        <v>1</v>
      </c>
      <c r="B5" s="12" t="s">
        <v>7</v>
      </c>
      <c r="C5" s="13" t="s">
        <v>8</v>
      </c>
      <c r="D5" s="12" t="s">
        <v>9</v>
      </c>
      <c r="E5" s="14"/>
      <c r="F5" s="6"/>
      <c r="G5" s="6"/>
      <c r="H5" s="6"/>
    </row>
    <row r="6" spans="1:8" ht="47.25" x14ac:dyDescent="0.25">
      <c r="A6" s="11">
        <v>2</v>
      </c>
      <c r="B6" s="12" t="s">
        <v>10</v>
      </c>
      <c r="C6" s="13" t="s">
        <v>11</v>
      </c>
      <c r="D6" s="12" t="s">
        <v>9</v>
      </c>
      <c r="E6" s="14"/>
      <c r="F6" s="6"/>
      <c r="G6" s="6"/>
      <c r="H6" s="6"/>
    </row>
    <row r="7" spans="1:8" ht="63" x14ac:dyDescent="0.25">
      <c r="A7" s="11">
        <v>3</v>
      </c>
      <c r="B7" s="12" t="s">
        <v>12</v>
      </c>
      <c r="C7" s="13" t="s">
        <v>13</v>
      </c>
      <c r="D7" s="12" t="s">
        <v>9</v>
      </c>
      <c r="E7" s="14"/>
      <c r="F7" s="6"/>
      <c r="G7" s="6"/>
      <c r="H7" s="6"/>
    </row>
    <row r="8" spans="1:8" ht="31.5" x14ac:dyDescent="0.25">
      <c r="A8" s="11">
        <v>4</v>
      </c>
      <c r="B8" s="12" t="s">
        <v>14</v>
      </c>
      <c r="C8" s="13" t="s">
        <v>15</v>
      </c>
      <c r="D8" s="12" t="s">
        <v>9</v>
      </c>
      <c r="E8" s="14"/>
      <c r="F8" s="6"/>
      <c r="G8" s="6"/>
      <c r="H8" s="6"/>
    </row>
    <row r="9" spans="1:8" ht="63" x14ac:dyDescent="0.25">
      <c r="A9" s="11">
        <v>4</v>
      </c>
      <c r="B9" s="12" t="s">
        <v>16</v>
      </c>
      <c r="C9" s="13" t="s">
        <v>17</v>
      </c>
      <c r="D9" s="12" t="s">
        <v>9</v>
      </c>
      <c r="E9" s="14"/>
      <c r="F9" s="6"/>
      <c r="G9" s="6"/>
      <c r="H9" s="6"/>
    </row>
    <row r="10" spans="1:8" ht="47.25" x14ac:dyDescent="0.25">
      <c r="A10" s="11">
        <v>5</v>
      </c>
      <c r="B10" s="12" t="s">
        <v>18</v>
      </c>
      <c r="C10" s="13" t="s">
        <v>19</v>
      </c>
      <c r="D10" s="12" t="s">
        <v>9</v>
      </c>
      <c r="E10" s="15" t="s">
        <v>20</v>
      </c>
      <c r="F10" s="6"/>
      <c r="G10" s="6"/>
      <c r="H10" s="6"/>
    </row>
    <row r="11" spans="1:8" ht="63" x14ac:dyDescent="0.25">
      <c r="A11" s="11">
        <v>6</v>
      </c>
      <c r="B11" s="12" t="s">
        <v>21</v>
      </c>
      <c r="C11" s="13" t="s">
        <v>22</v>
      </c>
      <c r="D11" s="12" t="s">
        <v>23</v>
      </c>
      <c r="E11" s="15" t="s">
        <v>24</v>
      </c>
      <c r="F11" s="6"/>
      <c r="G11" s="6"/>
      <c r="H11" s="6"/>
    </row>
    <row r="12" spans="1:8" ht="15.75" x14ac:dyDescent="0.25">
      <c r="A12" s="8" t="s">
        <v>25</v>
      </c>
      <c r="B12" s="16"/>
      <c r="C12" s="16"/>
      <c r="D12" s="16"/>
      <c r="E12" s="17"/>
      <c r="F12" s="6"/>
      <c r="G12" s="6"/>
      <c r="H12" s="6"/>
    </row>
    <row r="13" spans="1:8" ht="47.25" x14ac:dyDescent="0.25">
      <c r="A13" s="11">
        <v>7</v>
      </c>
      <c r="B13" s="12" t="s">
        <v>26</v>
      </c>
      <c r="C13" s="13" t="s">
        <v>27</v>
      </c>
      <c r="D13" s="12" t="s">
        <v>28</v>
      </c>
      <c r="E13" s="15" t="s">
        <v>29</v>
      </c>
      <c r="F13" s="6"/>
      <c r="G13" s="6"/>
      <c r="H13" s="6"/>
    </row>
    <row r="14" spans="1:8" ht="47.25" x14ac:dyDescent="0.25">
      <c r="A14" s="11">
        <v>8</v>
      </c>
      <c r="B14" s="12" t="s">
        <v>30</v>
      </c>
      <c r="C14" s="13" t="s">
        <v>31</v>
      </c>
      <c r="D14" s="12" t="s">
        <v>28</v>
      </c>
      <c r="E14" s="15" t="s">
        <v>29</v>
      </c>
      <c r="F14" s="6"/>
      <c r="G14" s="6"/>
      <c r="H14" s="6"/>
    </row>
    <row r="15" spans="1:8" ht="63" x14ac:dyDescent="0.25">
      <c r="A15" s="11">
        <v>9</v>
      </c>
      <c r="B15" s="12" t="s">
        <v>32</v>
      </c>
      <c r="C15" s="13" t="s">
        <v>33</v>
      </c>
      <c r="D15" s="12" t="s">
        <v>28</v>
      </c>
      <c r="E15" s="15" t="s">
        <v>29</v>
      </c>
      <c r="F15" s="6"/>
      <c r="G15" s="6"/>
      <c r="H15" s="6"/>
    </row>
    <row r="16" spans="1:8" ht="47.25" x14ac:dyDescent="0.25">
      <c r="A16" s="11">
        <v>10</v>
      </c>
      <c r="B16" s="12" t="s">
        <v>34</v>
      </c>
      <c r="C16" s="13" t="s">
        <v>35</v>
      </c>
      <c r="D16" s="12" t="s">
        <v>9</v>
      </c>
      <c r="E16" s="14"/>
      <c r="F16" s="6"/>
      <c r="G16" s="6"/>
      <c r="H16" s="6"/>
    </row>
    <row r="17" spans="1:8" ht="63" x14ac:dyDescent="0.25">
      <c r="A17" s="11">
        <v>11</v>
      </c>
      <c r="B17" s="12" t="s">
        <v>36</v>
      </c>
      <c r="C17" s="13" t="s">
        <v>37</v>
      </c>
      <c r="D17" s="12" t="s">
        <v>28</v>
      </c>
      <c r="E17" s="15" t="s">
        <v>38</v>
      </c>
      <c r="F17" s="6"/>
      <c r="G17" s="6"/>
      <c r="H17" s="6"/>
    </row>
    <row r="18" spans="1:8" ht="63" x14ac:dyDescent="0.25">
      <c r="A18" s="11">
        <v>12</v>
      </c>
      <c r="B18" s="12" t="s">
        <v>39</v>
      </c>
      <c r="C18" s="13" t="s">
        <v>40</v>
      </c>
      <c r="D18" s="12" t="s">
        <v>9</v>
      </c>
      <c r="E18" s="15" t="s">
        <v>41</v>
      </c>
      <c r="F18" s="6"/>
      <c r="G18" s="6"/>
      <c r="H18" s="6"/>
    </row>
    <row r="19" spans="1:8" ht="47.25" x14ac:dyDescent="0.25">
      <c r="A19" s="11">
        <v>13</v>
      </c>
      <c r="B19" s="12" t="s">
        <v>42</v>
      </c>
      <c r="C19" s="13" t="s">
        <v>43</v>
      </c>
      <c r="D19" s="12" t="s">
        <v>9</v>
      </c>
      <c r="E19" s="14"/>
      <c r="F19" s="6"/>
      <c r="G19" s="6"/>
      <c r="H19" s="6"/>
    </row>
    <row r="20" spans="1:8" ht="63" x14ac:dyDescent="0.25">
      <c r="A20" s="11">
        <v>14</v>
      </c>
      <c r="B20" s="12" t="s">
        <v>44</v>
      </c>
      <c r="C20" s="13" t="s">
        <v>45</v>
      </c>
      <c r="D20" s="12" t="s">
        <v>9</v>
      </c>
      <c r="E20" s="18" t="s">
        <v>46</v>
      </c>
      <c r="F20" s="6"/>
      <c r="G20" s="6"/>
      <c r="H20" s="6"/>
    </row>
    <row r="21" spans="1:8" ht="47.25" x14ac:dyDescent="0.25">
      <c r="A21" s="11">
        <v>15</v>
      </c>
      <c r="B21" s="12" t="s">
        <v>47</v>
      </c>
      <c r="C21" s="13" t="s">
        <v>48</v>
      </c>
      <c r="D21" s="12" t="s">
        <v>9</v>
      </c>
      <c r="E21" s="14"/>
      <c r="F21" s="6"/>
      <c r="G21" s="6"/>
      <c r="H21" s="6"/>
    </row>
    <row r="22" spans="1:8" ht="63" x14ac:dyDescent="0.25">
      <c r="A22" s="11">
        <v>16</v>
      </c>
      <c r="B22" s="12" t="s">
        <v>49</v>
      </c>
      <c r="C22" s="13" t="s">
        <v>50</v>
      </c>
      <c r="D22" s="12" t="s">
        <v>9</v>
      </c>
      <c r="E22" s="18" t="s">
        <v>51</v>
      </c>
      <c r="F22" s="6"/>
      <c r="G22" s="6"/>
      <c r="H22" s="6"/>
    </row>
    <row r="23" spans="1:8" ht="47.25" x14ac:dyDescent="0.25">
      <c r="A23" s="11">
        <v>17</v>
      </c>
      <c r="B23" s="12" t="s">
        <v>52</v>
      </c>
      <c r="C23" s="13" t="s">
        <v>53</v>
      </c>
      <c r="D23" s="12" t="s">
        <v>9</v>
      </c>
      <c r="E23" s="14"/>
      <c r="F23" s="6"/>
      <c r="G23" s="6"/>
      <c r="H23" s="6"/>
    </row>
    <row r="24" spans="1:8" ht="47.25" x14ac:dyDescent="0.25">
      <c r="A24" s="11">
        <v>18</v>
      </c>
      <c r="B24" s="12" t="s">
        <v>54</v>
      </c>
      <c r="C24" s="13" t="s">
        <v>55</v>
      </c>
      <c r="D24" s="12" t="s">
        <v>9</v>
      </c>
      <c r="E24" s="14"/>
      <c r="F24" s="6"/>
      <c r="G24" s="6"/>
      <c r="H24" s="6"/>
    </row>
    <row r="25" spans="1:8" ht="157.5" x14ac:dyDescent="0.25">
      <c r="A25" s="11">
        <v>19</v>
      </c>
      <c r="B25" s="12" t="s">
        <v>56</v>
      </c>
      <c r="C25" s="13" t="s">
        <v>57</v>
      </c>
      <c r="D25" s="12" t="s">
        <v>28</v>
      </c>
      <c r="E25" s="14"/>
      <c r="F25" s="6"/>
      <c r="G25" s="6"/>
      <c r="H25" s="6"/>
    </row>
    <row r="26" spans="1:8" ht="15.75" x14ac:dyDescent="0.25">
      <c r="A26" s="8" t="s">
        <v>58</v>
      </c>
      <c r="B26" s="16"/>
      <c r="C26" s="16"/>
      <c r="D26" s="16"/>
      <c r="E26" s="17"/>
      <c r="F26" s="6"/>
      <c r="G26" s="6"/>
      <c r="H26" s="6"/>
    </row>
    <row r="27" spans="1:8" ht="78.75" x14ac:dyDescent="0.25">
      <c r="A27" s="11">
        <v>20</v>
      </c>
      <c r="B27" s="12" t="s">
        <v>59</v>
      </c>
      <c r="C27" s="13" t="s">
        <v>60</v>
      </c>
      <c r="D27" s="12" t="s">
        <v>9</v>
      </c>
      <c r="E27" s="18" t="s">
        <v>61</v>
      </c>
      <c r="F27" s="6"/>
      <c r="G27" s="6"/>
      <c r="H27" s="6"/>
    </row>
    <row r="28" spans="1:8" ht="63" x14ac:dyDescent="0.25">
      <c r="A28" s="11">
        <v>21</v>
      </c>
      <c r="B28" s="12" t="s">
        <v>62</v>
      </c>
      <c r="C28" s="13" t="s">
        <v>63</v>
      </c>
      <c r="D28" s="12" t="s">
        <v>23</v>
      </c>
      <c r="E28" s="15" t="s">
        <v>64</v>
      </c>
      <c r="F28" s="6"/>
      <c r="G28" s="6"/>
      <c r="H28" s="6"/>
    </row>
    <row r="29" spans="1:8" ht="47.25" x14ac:dyDescent="0.25">
      <c r="A29" s="11">
        <v>22</v>
      </c>
      <c r="B29" s="12" t="s">
        <v>65</v>
      </c>
      <c r="C29" s="13" t="s">
        <v>66</v>
      </c>
      <c r="D29" s="12" t="s">
        <v>9</v>
      </c>
      <c r="E29" s="15" t="s">
        <v>67</v>
      </c>
      <c r="F29" s="6"/>
      <c r="G29" s="6"/>
      <c r="H29" s="6"/>
    </row>
    <row r="30" spans="1:8" ht="47.25" x14ac:dyDescent="0.25">
      <c r="A30" s="11">
        <v>23</v>
      </c>
      <c r="B30" s="12" t="s">
        <v>68</v>
      </c>
      <c r="C30" s="13" t="s">
        <v>69</v>
      </c>
      <c r="D30" s="12" t="s">
        <v>9</v>
      </c>
      <c r="E30" s="14"/>
      <c r="F30" s="6"/>
      <c r="G30" s="6"/>
      <c r="H30" s="6"/>
    </row>
    <row r="31" spans="1:8" ht="15.75" x14ac:dyDescent="0.25">
      <c r="A31" s="8" t="s">
        <v>70</v>
      </c>
      <c r="B31" s="16"/>
      <c r="C31" s="16"/>
      <c r="D31" s="16"/>
      <c r="E31" s="17"/>
      <c r="F31" s="6"/>
      <c r="G31" s="6"/>
      <c r="H31" s="6"/>
    </row>
    <row r="32" spans="1:8" ht="31.5" x14ac:dyDescent="0.25">
      <c r="A32" s="11">
        <v>24</v>
      </c>
      <c r="B32" s="12" t="s">
        <v>71</v>
      </c>
      <c r="C32" s="13" t="s">
        <v>72</v>
      </c>
      <c r="D32" s="12" t="s">
        <v>9</v>
      </c>
      <c r="E32" s="14"/>
      <c r="F32" s="6"/>
      <c r="G32" s="6"/>
      <c r="H32" s="6"/>
    </row>
    <row r="33" spans="1:8" ht="63" x14ac:dyDescent="0.25">
      <c r="A33" s="11">
        <v>25</v>
      </c>
      <c r="B33" s="12" t="s">
        <v>73</v>
      </c>
      <c r="C33" s="13" t="s">
        <v>74</v>
      </c>
      <c r="D33" s="12" t="s">
        <v>9</v>
      </c>
      <c r="E33" s="14"/>
      <c r="F33" s="6"/>
      <c r="G33" s="6"/>
      <c r="H33" s="6"/>
    </row>
    <row r="34" spans="1:8" ht="47.25" x14ac:dyDescent="0.25">
      <c r="A34" s="11">
        <v>26</v>
      </c>
      <c r="B34" s="12" t="s">
        <v>75</v>
      </c>
      <c r="C34" s="13" t="s">
        <v>76</v>
      </c>
      <c r="D34" s="12" t="s">
        <v>9</v>
      </c>
      <c r="E34" s="14"/>
      <c r="F34" s="6"/>
      <c r="G34" s="6"/>
      <c r="H34" s="6"/>
    </row>
    <row r="35" spans="1:8" ht="63" x14ac:dyDescent="0.25">
      <c r="A35" s="11">
        <v>27</v>
      </c>
      <c r="B35" s="12" t="s">
        <v>77</v>
      </c>
      <c r="C35" s="13" t="s">
        <v>78</v>
      </c>
      <c r="D35" s="12" t="s">
        <v>9</v>
      </c>
      <c r="E35" s="14"/>
      <c r="F35" s="6"/>
      <c r="G35" s="6"/>
      <c r="H35" s="6"/>
    </row>
    <row r="36" spans="1:8" ht="78.75" x14ac:dyDescent="0.25">
      <c r="A36" s="11">
        <v>28</v>
      </c>
      <c r="B36" s="12" t="s">
        <v>79</v>
      </c>
      <c r="C36" s="13" t="s">
        <v>80</v>
      </c>
      <c r="D36" s="12" t="s">
        <v>9</v>
      </c>
      <c r="E36" s="15" t="s">
        <v>81</v>
      </c>
      <c r="F36" s="6"/>
      <c r="G36" s="6"/>
      <c r="H36" s="6"/>
    </row>
    <row r="37" spans="1:8" ht="31.5" x14ac:dyDescent="0.25">
      <c r="A37" s="11">
        <v>29</v>
      </c>
      <c r="B37" s="12" t="s">
        <v>82</v>
      </c>
      <c r="C37" s="13" t="s">
        <v>83</v>
      </c>
      <c r="D37" s="12" t="s">
        <v>23</v>
      </c>
      <c r="E37" s="15" t="s">
        <v>84</v>
      </c>
      <c r="F37" s="6"/>
      <c r="G37" s="6"/>
      <c r="H37" s="6"/>
    </row>
    <row r="38" spans="1:8" ht="409.5" x14ac:dyDescent="0.25">
      <c r="A38" s="11">
        <v>30</v>
      </c>
      <c r="B38" s="12" t="s">
        <v>85</v>
      </c>
      <c r="C38" s="13" t="s">
        <v>86</v>
      </c>
      <c r="D38" s="12" t="s">
        <v>23</v>
      </c>
      <c r="E38" s="18" t="s">
        <v>87</v>
      </c>
      <c r="F38" s="6"/>
      <c r="G38" s="6"/>
      <c r="H38" s="6"/>
    </row>
    <row r="39" spans="1:8" ht="15.75" x14ac:dyDescent="0.25">
      <c r="A39" s="8" t="s">
        <v>88</v>
      </c>
      <c r="B39" s="16"/>
      <c r="C39" s="16"/>
      <c r="D39" s="16"/>
      <c r="E39" s="17"/>
      <c r="F39" s="6"/>
      <c r="G39" s="6"/>
      <c r="H39" s="6"/>
    </row>
    <row r="40" spans="1:8" ht="78.75" x14ac:dyDescent="0.25">
      <c r="A40" s="11">
        <v>31</v>
      </c>
      <c r="B40" s="12" t="s">
        <v>89</v>
      </c>
      <c r="C40" s="13" t="s">
        <v>90</v>
      </c>
      <c r="D40" s="12" t="s">
        <v>23</v>
      </c>
      <c r="E40" s="15" t="s">
        <v>91</v>
      </c>
      <c r="F40" s="6"/>
      <c r="G40" s="6"/>
      <c r="H40" s="6"/>
    </row>
    <row r="41" spans="1:8" ht="94.5" x14ac:dyDescent="0.25">
      <c r="A41" s="11">
        <v>32</v>
      </c>
      <c r="B41" s="12" t="s">
        <v>92</v>
      </c>
      <c r="C41" s="13" t="s">
        <v>93</v>
      </c>
      <c r="D41" s="12" t="s">
        <v>23</v>
      </c>
      <c r="E41" s="15" t="s">
        <v>91</v>
      </c>
      <c r="F41" s="6"/>
      <c r="G41" s="6"/>
      <c r="H41" s="6"/>
    </row>
    <row r="42" spans="1:8" ht="78.75" x14ac:dyDescent="0.25">
      <c r="A42" s="11">
        <v>33</v>
      </c>
      <c r="B42" s="12" t="s">
        <v>94</v>
      </c>
      <c r="C42" s="13" t="s">
        <v>95</v>
      </c>
      <c r="D42" s="12" t="s">
        <v>23</v>
      </c>
      <c r="E42" s="15" t="s">
        <v>91</v>
      </c>
      <c r="F42" s="6"/>
      <c r="G42" s="6"/>
      <c r="H42" s="6"/>
    </row>
    <row r="43" spans="1:8" ht="78.75" x14ac:dyDescent="0.25">
      <c r="A43" s="11">
        <v>34</v>
      </c>
      <c r="B43" s="12" t="s">
        <v>96</v>
      </c>
      <c r="C43" s="13" t="s">
        <v>97</v>
      </c>
      <c r="D43" s="12" t="s">
        <v>23</v>
      </c>
      <c r="E43" s="15" t="s">
        <v>91</v>
      </c>
      <c r="F43" s="6"/>
      <c r="G43" s="6"/>
      <c r="H43" s="6"/>
    </row>
    <row r="44" spans="1:8" ht="78.75" x14ac:dyDescent="0.25">
      <c r="A44" s="11">
        <v>35</v>
      </c>
      <c r="B44" s="12" t="s">
        <v>98</v>
      </c>
      <c r="C44" s="13" t="s">
        <v>99</v>
      </c>
      <c r="D44" s="12" t="s">
        <v>9</v>
      </c>
      <c r="E44" s="14"/>
      <c r="F44" s="6"/>
      <c r="G44" s="6"/>
      <c r="H44" s="6"/>
    </row>
    <row r="45" spans="1:8" ht="63" x14ac:dyDescent="0.25">
      <c r="A45" s="11">
        <v>36</v>
      </c>
      <c r="B45" s="12" t="s">
        <v>100</v>
      </c>
      <c r="C45" s="13" t="s">
        <v>101</v>
      </c>
      <c r="D45" s="12" t="s">
        <v>9</v>
      </c>
      <c r="E45" s="14"/>
      <c r="F45" s="6"/>
      <c r="G45" s="6"/>
      <c r="H45" s="6"/>
    </row>
    <row r="46" spans="1:8" ht="31.5" x14ac:dyDescent="0.25">
      <c r="A46" s="11">
        <v>37</v>
      </c>
      <c r="B46" s="12" t="s">
        <v>102</v>
      </c>
      <c r="C46" s="13" t="s">
        <v>103</v>
      </c>
      <c r="D46" s="12" t="s">
        <v>9</v>
      </c>
      <c r="E46" s="14"/>
      <c r="F46" s="6"/>
      <c r="G46" s="6"/>
      <c r="H46" s="6"/>
    </row>
    <row r="47" spans="1:8" ht="47.25" x14ac:dyDescent="0.25">
      <c r="A47" s="11">
        <v>38</v>
      </c>
      <c r="B47" s="12" t="s">
        <v>104</v>
      </c>
      <c r="C47" s="13" t="s">
        <v>105</v>
      </c>
      <c r="D47" s="12" t="s">
        <v>23</v>
      </c>
      <c r="E47" s="15" t="s">
        <v>106</v>
      </c>
      <c r="F47" s="6"/>
      <c r="G47" s="6"/>
      <c r="H47" s="6"/>
    </row>
    <row r="48" spans="1:8" ht="47.25" x14ac:dyDescent="0.25">
      <c r="A48" s="19">
        <v>39</v>
      </c>
      <c r="B48" s="20" t="s">
        <v>107</v>
      </c>
      <c r="C48" s="13" t="s">
        <v>108</v>
      </c>
      <c r="D48" s="21"/>
      <c r="E48" s="14"/>
      <c r="F48" s="6"/>
      <c r="G48" s="6"/>
      <c r="H48" s="6"/>
    </row>
    <row r="49" spans="1:8" ht="31.5" x14ac:dyDescent="0.25">
      <c r="A49" s="19"/>
      <c r="B49" s="20"/>
      <c r="C49" s="13" t="s">
        <v>109</v>
      </c>
      <c r="D49" s="12" t="s">
        <v>9</v>
      </c>
      <c r="E49" s="14"/>
      <c r="F49" s="6"/>
      <c r="G49" s="6"/>
      <c r="H49" s="6"/>
    </row>
    <row r="50" spans="1:8" ht="31.5" x14ac:dyDescent="0.25">
      <c r="A50" s="19"/>
      <c r="B50" s="20"/>
      <c r="C50" s="13" t="s">
        <v>110</v>
      </c>
      <c r="D50" s="12" t="s">
        <v>9</v>
      </c>
      <c r="E50" s="14"/>
      <c r="F50" s="6"/>
      <c r="G50" s="6"/>
      <c r="H50" s="6"/>
    </row>
    <row r="51" spans="1:8" ht="31.5" x14ac:dyDescent="0.25">
      <c r="A51" s="19"/>
      <c r="B51" s="20"/>
      <c r="C51" s="13" t="s">
        <v>111</v>
      </c>
      <c r="D51" s="12" t="s">
        <v>9</v>
      </c>
      <c r="E51" s="14"/>
      <c r="F51" s="6"/>
      <c r="G51" s="6"/>
      <c r="H51" s="6"/>
    </row>
    <row r="52" spans="1:8" ht="31.5" x14ac:dyDescent="0.25">
      <c r="A52" s="19"/>
      <c r="B52" s="20"/>
      <c r="C52" s="13" t="s">
        <v>112</v>
      </c>
      <c r="D52" s="12" t="s">
        <v>9</v>
      </c>
      <c r="E52" s="14"/>
      <c r="F52" s="6"/>
      <c r="G52" s="6"/>
      <c r="H52" s="6"/>
    </row>
    <row r="53" spans="1:8" ht="31.5" x14ac:dyDescent="0.25">
      <c r="A53" s="19"/>
      <c r="B53" s="20"/>
      <c r="C53" s="13" t="s">
        <v>113</v>
      </c>
      <c r="D53" s="12" t="s">
        <v>9</v>
      </c>
      <c r="E53" s="14"/>
      <c r="F53" s="6"/>
      <c r="G53" s="6"/>
      <c r="H53" s="6"/>
    </row>
    <row r="54" spans="1:8" ht="31.5" x14ac:dyDescent="0.25">
      <c r="A54" s="19"/>
      <c r="B54" s="20"/>
      <c r="C54" s="13" t="s">
        <v>114</v>
      </c>
      <c r="D54" s="12" t="s">
        <v>9</v>
      </c>
      <c r="E54" s="14"/>
      <c r="F54" s="6"/>
      <c r="G54" s="6"/>
      <c r="H54" s="6"/>
    </row>
    <row r="55" spans="1:8" ht="31.5" x14ac:dyDescent="0.25">
      <c r="A55" s="19"/>
      <c r="B55" s="20"/>
      <c r="C55" s="13" t="s">
        <v>115</v>
      </c>
      <c r="D55" s="12" t="s">
        <v>9</v>
      </c>
      <c r="E55" s="14"/>
      <c r="F55" s="6"/>
      <c r="G55" s="6"/>
      <c r="H55" s="6"/>
    </row>
    <row r="56" spans="1:8" ht="31.5" x14ac:dyDescent="0.25">
      <c r="A56" s="19"/>
      <c r="B56" s="20"/>
      <c r="C56" s="13" t="s">
        <v>116</v>
      </c>
      <c r="D56" s="12" t="s">
        <v>28</v>
      </c>
      <c r="E56" s="14"/>
      <c r="F56" s="6"/>
      <c r="G56" s="6"/>
      <c r="H56" s="6"/>
    </row>
    <row r="57" spans="1:8" ht="31.5" x14ac:dyDescent="0.25">
      <c r="A57" s="19"/>
      <c r="B57" s="20"/>
      <c r="C57" s="13" t="s">
        <v>117</v>
      </c>
      <c r="D57" s="12" t="s">
        <v>9</v>
      </c>
      <c r="E57" s="14"/>
      <c r="F57" s="6"/>
      <c r="G57" s="6"/>
      <c r="H57" s="6"/>
    </row>
    <row r="58" spans="1:8" ht="31.5" x14ac:dyDescent="0.25">
      <c r="A58" s="19"/>
      <c r="B58" s="20"/>
      <c r="C58" s="13" t="s">
        <v>118</v>
      </c>
      <c r="D58" s="12" t="s">
        <v>9</v>
      </c>
      <c r="E58" s="14"/>
      <c r="F58" s="6"/>
      <c r="G58" s="6"/>
      <c r="H58" s="6"/>
    </row>
    <row r="59" spans="1:8" ht="31.5" x14ac:dyDescent="0.25">
      <c r="A59" s="19"/>
      <c r="B59" s="20"/>
      <c r="C59" s="13" t="s">
        <v>119</v>
      </c>
      <c r="D59" s="12" t="s">
        <v>9</v>
      </c>
      <c r="E59" s="14"/>
      <c r="F59" s="6"/>
      <c r="G59" s="6"/>
      <c r="H59" s="6"/>
    </row>
    <row r="60" spans="1:8" ht="31.5" x14ac:dyDescent="0.25">
      <c r="A60" s="19"/>
      <c r="B60" s="20"/>
      <c r="C60" s="13" t="s">
        <v>120</v>
      </c>
      <c r="D60" s="12" t="s">
        <v>28</v>
      </c>
      <c r="E60" s="14"/>
      <c r="F60" s="6"/>
      <c r="G60" s="6"/>
      <c r="H60" s="6"/>
    </row>
    <row r="61" spans="1:8" ht="31.5" x14ac:dyDescent="0.25">
      <c r="A61" s="19"/>
      <c r="B61" s="20"/>
      <c r="C61" s="13" t="s">
        <v>121</v>
      </c>
      <c r="D61" s="12" t="s">
        <v>28</v>
      </c>
      <c r="E61" s="14"/>
      <c r="F61" s="6"/>
      <c r="G61" s="6"/>
      <c r="H61" s="6"/>
    </row>
    <row r="62" spans="1:8" ht="47.25" x14ac:dyDescent="0.25">
      <c r="A62" s="19"/>
      <c r="B62" s="20"/>
      <c r="C62" s="13" t="s">
        <v>122</v>
      </c>
      <c r="D62" s="12" t="s">
        <v>28</v>
      </c>
      <c r="E62" s="14"/>
      <c r="F62" s="6"/>
      <c r="G62" s="6"/>
      <c r="H62" s="6"/>
    </row>
    <row r="63" spans="1:8" ht="31.5" x14ac:dyDescent="0.25">
      <c r="A63" s="19"/>
      <c r="B63" s="20"/>
      <c r="C63" s="13" t="s">
        <v>123</v>
      </c>
      <c r="D63" s="12" t="s">
        <v>28</v>
      </c>
      <c r="E63" s="14"/>
      <c r="F63" s="6"/>
      <c r="G63" s="6"/>
      <c r="H63" s="6"/>
    </row>
    <row r="64" spans="1:8" ht="47.25" x14ac:dyDescent="0.25">
      <c r="A64" s="19"/>
      <c r="B64" s="20"/>
      <c r="C64" s="13" t="s">
        <v>124</v>
      </c>
      <c r="D64" s="12" t="s">
        <v>9</v>
      </c>
      <c r="E64" s="14"/>
      <c r="F64" s="6"/>
      <c r="G64" s="6"/>
      <c r="H64" s="6"/>
    </row>
    <row r="65" spans="1:8" ht="63" x14ac:dyDescent="0.25">
      <c r="A65" s="19"/>
      <c r="B65" s="20"/>
      <c r="C65" s="13" t="s">
        <v>125</v>
      </c>
      <c r="D65" s="12" t="s">
        <v>28</v>
      </c>
      <c r="E65" s="14"/>
      <c r="F65" s="6"/>
      <c r="G65" s="6"/>
      <c r="H65" s="6"/>
    </row>
    <row r="66" spans="1:8" ht="31.5" x14ac:dyDescent="0.25">
      <c r="A66" s="19"/>
      <c r="B66" s="20"/>
      <c r="C66" s="13" t="s">
        <v>126</v>
      </c>
      <c r="D66" s="12" t="s">
        <v>9</v>
      </c>
      <c r="E66" s="14"/>
      <c r="F66" s="6"/>
      <c r="G66" s="6"/>
      <c r="H66" s="6"/>
    </row>
    <row r="67" spans="1:8" ht="47.25" x14ac:dyDescent="0.25">
      <c r="A67" s="19"/>
      <c r="B67" s="20"/>
      <c r="C67" s="13" t="s">
        <v>127</v>
      </c>
      <c r="D67" s="12" t="s">
        <v>28</v>
      </c>
      <c r="E67" s="14"/>
      <c r="F67" s="6"/>
      <c r="G67" s="6"/>
      <c r="H67" s="6"/>
    </row>
    <row r="68" spans="1:8" ht="48" thickBot="1" x14ac:dyDescent="0.3">
      <c r="A68" s="22"/>
      <c r="B68" s="23"/>
      <c r="C68" s="24" t="s">
        <v>128</v>
      </c>
      <c r="D68" s="25" t="s">
        <v>28</v>
      </c>
      <c r="E68" s="26"/>
      <c r="F68" s="6"/>
      <c r="G68" s="6"/>
      <c r="H68" s="6"/>
    </row>
    <row r="70" spans="1:8" ht="15.75" thickBot="1" x14ac:dyDescent="0.3"/>
    <row r="71" spans="1:8" ht="15.75" thickBot="1" x14ac:dyDescent="0.3">
      <c r="C71" s="27" t="s">
        <v>129</v>
      </c>
      <c r="D71" s="28" t="s">
        <v>130</v>
      </c>
      <c r="E71" s="29" t="s">
        <v>131</v>
      </c>
    </row>
    <row r="72" spans="1:8" ht="15.75" thickBot="1" x14ac:dyDescent="0.3">
      <c r="C72" s="30" t="s">
        <v>9</v>
      </c>
      <c r="D72" s="29">
        <f>COUNTIF($D$5:$D$68,D5)</f>
        <v>37</v>
      </c>
      <c r="E72" s="31">
        <f>D72/D75</f>
        <v>0.6271186440677966</v>
      </c>
    </row>
    <row r="73" spans="1:8" ht="15.75" thickBot="1" x14ac:dyDescent="0.3">
      <c r="C73" s="30" t="s">
        <v>23</v>
      </c>
      <c r="D73" s="29">
        <f>COUNTIF($D$11:$D$68,D11)</f>
        <v>9</v>
      </c>
      <c r="E73" s="31">
        <f>D73/D75</f>
        <v>0.15254237288135594</v>
      </c>
    </row>
    <row r="74" spans="1:8" ht="15.75" thickBot="1" x14ac:dyDescent="0.3">
      <c r="C74" s="30" t="s">
        <v>28</v>
      </c>
      <c r="D74" s="29">
        <f>COUNTIF($D$13:$D$68,D13)</f>
        <v>13</v>
      </c>
      <c r="E74" s="31">
        <f>D74/D75</f>
        <v>0.22033898305084745</v>
      </c>
    </row>
    <row r="75" spans="1:8" ht="15.75" thickBot="1" x14ac:dyDescent="0.3">
      <c r="C75" s="32" t="s">
        <v>130</v>
      </c>
      <c r="D75" s="29">
        <f>SUM(D72:D74)</f>
        <v>59</v>
      </c>
      <c r="E75" s="33"/>
    </row>
  </sheetData>
  <mergeCells count="8">
    <mergeCell ref="A48:A68"/>
    <mergeCell ref="B48:B68"/>
    <mergeCell ref="A1:H2"/>
    <mergeCell ref="A4:E4"/>
    <mergeCell ref="A12:E12"/>
    <mergeCell ref="A26:E26"/>
    <mergeCell ref="A31:E31"/>
    <mergeCell ref="A39:E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Revenue Module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 Mashiku</dc:creator>
  <cp:lastModifiedBy>Allen Mashiku</cp:lastModifiedBy>
  <dcterms:created xsi:type="dcterms:W3CDTF">2025-10-14T08:25:54Z</dcterms:created>
  <dcterms:modified xsi:type="dcterms:W3CDTF">2025-10-14T08:26:26Z</dcterms:modified>
</cp:coreProperties>
</file>